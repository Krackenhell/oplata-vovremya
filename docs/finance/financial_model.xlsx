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читать" sheetId="1" state="visible" r:id="rId1"/>
    <sheet xmlns:r="http://schemas.openxmlformats.org/officeDocument/2006/relationships" name="Допущения" sheetId="2" state="visible" r:id="rId2"/>
    <sheet xmlns:r="http://schemas.openxmlformats.org/officeDocument/2006/relationships" name="Экономика для банка" sheetId="3" state="visible" r:id="rId3"/>
    <sheet xmlns:r="http://schemas.openxmlformats.org/officeDocument/2006/relationships" name="Эффект для клиента" sheetId="4" state="visible" r:id="rId4"/>
    <sheet xmlns:r="http://schemas.openxmlformats.org/officeDocument/2006/relationships" name="Рынок TAM-SAM-SO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 ##0"/>
    <numFmt numFmtId="165" formatCode="0.0"/>
    <numFmt numFmtId="166" formatCode="# ##0.00"/>
    <numFmt numFmtId="167" formatCode="# ##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0F1B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1" fillId="3" borderId="0" applyAlignment="1" pivotButton="0" quotePrefix="0" xfId="0">
      <alignment vertical="center" wrapText="1"/>
    </xf>
    <xf numFmtId="0" fontId="0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2" borderId="0" pivotButton="0" quotePrefix="0" xfId="0"/>
    <xf numFmtId="166" fontId="0" fillId="2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Финансовая модель «Оплата вовремя» · версия для спринта 1 (28.10.2026)</t>
        </is>
      </c>
    </row>
    <row r="2">
      <c r="A2" t="inlineStr"/>
    </row>
    <row r="3">
      <c r="A3" t="inlineStr">
        <is>
          <t>Жёлтые ячейки — допущения. Всё остальное считается формулами.</t>
        </is>
      </c>
    </row>
    <row r="4">
      <c r="A4" t="inlineStr">
        <is>
          <t>Основная модель — сервис бесплатно встроен в интернет-банк ВТБ для МСБ. Банк зарабатывает на остатках и факторинге.</t>
        </is>
      </c>
    </row>
    <row r="5">
      <c r="A5" t="inlineStr">
        <is>
          <t>Альтернатива — отдельная подписка (лист «Эффект для клиента», строки про SaaS).</t>
        </is>
      </c>
    </row>
    <row r="6">
      <c r="A6" t="inlineStr">
        <is>
          <t>Значения с пометкой «гипотеза» не подтверждены. Их проверяем интервью и пилотом (см. docs/product/04_pilot.md).</t>
        </is>
      </c>
    </row>
    <row r="7">
      <c r="A7" t="inlineStr">
        <is>
          <t>Высвобождение оборотных средств — разовый эффект, а не доход. Высвобождение времени — не сокращение расходов.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60" customWidth="1" min="5" max="5"/>
    <col width="70" customWidth="1" min="6" max="6"/>
  </cols>
  <sheetData>
    <row r="1">
      <c r="A1" s="2" t="inlineStr">
        <is>
          <t>Параметр</t>
        </is>
      </c>
      <c r="B1" s="2" t="inlineStr">
        <is>
          <t>Пессимистичный</t>
        </is>
      </c>
      <c r="C1" s="2" t="inlineStr">
        <is>
          <t>Базовый</t>
        </is>
      </c>
      <c r="D1" s="2" t="inlineStr">
        <is>
          <t>Оптимистичный</t>
        </is>
      </c>
      <c r="E1" s="2" t="inlineStr">
        <is>
          <t>Ед.</t>
        </is>
      </c>
      <c r="F1" s="2" t="inlineStr">
        <is>
          <t>Источник / статус</t>
        </is>
      </c>
    </row>
    <row r="2">
      <c r="A2" t="inlineStr">
        <is>
          <t>Клиенты МСБ ВТБ</t>
        </is>
      </c>
      <c r="B2" s="3" t="n">
        <v>1300000</v>
      </c>
      <c r="C2" s="3" t="n">
        <v>1300000</v>
      </c>
      <c r="D2" s="3" t="n">
        <v>1300000</v>
      </c>
      <c r="E2" t="inlineStr">
        <is>
          <t>компаний</t>
        </is>
      </c>
      <c r="F2" t="inlineStr">
        <is>
          <t>ВТБ, февраль 2024 (Лента.ру) — устарело, обновить по годовому отчёту</t>
        </is>
      </c>
    </row>
    <row r="3">
      <c r="A3" t="inlineStr">
        <is>
          <t>Доля клиентов с B2B-продажами в отсрочку</t>
        </is>
      </c>
      <c r="B3" s="3" t="n">
        <v>0.3</v>
      </c>
      <c r="C3" s="3" t="n">
        <v>0.4</v>
      </c>
      <c r="D3" s="3" t="n">
        <v>0.5</v>
      </c>
      <c r="E3" t="inlineStr">
        <is>
          <t>доля</t>
        </is>
      </c>
      <c r="F3" t="inlineStr">
        <is>
          <t>гипотеза: 50% юрлиц и 20% ИП (оценка ресерча)</t>
        </is>
      </c>
    </row>
    <row r="4">
      <c r="A4" t="inlineStr">
        <is>
          <t>Активное использование к концу 2-го года</t>
        </is>
      </c>
      <c r="B4" s="3" t="n">
        <v>0.01</v>
      </c>
      <c r="C4" s="3" t="n">
        <v>0.03</v>
      </c>
      <c r="D4" s="3" t="n">
        <v>0.06</v>
      </c>
      <c r="E4" t="inlineStr">
        <is>
          <t>доля от B2B</t>
        </is>
      </c>
      <c r="F4" t="inlineStr">
        <is>
          <t>гипотеза; ориентир — 200 тыс. пользователей Giga-ассистента СберБизнеса за год</t>
        </is>
      </c>
    </row>
    <row r="5">
      <c r="A5" t="inlineStr">
        <is>
          <t>Средняя выручка клиента в месяц</t>
        </is>
      </c>
      <c r="B5" s="3" t="n">
        <v>4000000</v>
      </c>
      <c r="C5" s="3" t="n">
        <v>5000000</v>
      </c>
      <c r="D5" s="3" t="n">
        <v>6000000</v>
      </c>
      <c r="E5" t="inlineStr">
        <is>
          <t>₽</t>
        </is>
      </c>
      <c r="F5" t="inlineStr">
        <is>
          <t>гипотеза для малого бизнеса</t>
        </is>
      </c>
    </row>
    <row r="6">
      <c r="A6" t="inlineStr">
        <is>
          <t>Сокращение срока оплаты (DSO)</t>
        </is>
      </c>
      <c r="B6" s="3" t="n">
        <v>2</v>
      </c>
      <c r="C6" s="3" t="n">
        <v>4</v>
      </c>
      <c r="D6" s="3" t="n">
        <v>6</v>
      </c>
      <c r="E6" t="inlineStr">
        <is>
          <t>дней</t>
        </is>
      </c>
      <c r="F6" t="inlineStr">
        <is>
          <t>гипотеза; Intuit заявляет 4–5 дней (вендор)</t>
        </is>
      </c>
    </row>
    <row r="7">
      <c r="A7" t="inlineStr">
        <is>
          <t>Доля высвобожденных денег, оставшихся на счёте в ВТБ</t>
        </is>
      </c>
      <c r="B7" s="3" t="n">
        <v>0.3</v>
      </c>
      <c r="C7" s="3" t="n">
        <v>0.5</v>
      </c>
      <c r="D7" s="3" t="n">
        <v>0.6</v>
      </c>
      <c r="E7" t="inlineStr">
        <is>
          <t>доля</t>
        </is>
      </c>
      <c r="F7" t="inlineStr">
        <is>
          <t>гипотеза</t>
        </is>
      </c>
    </row>
    <row r="8">
      <c r="A8" t="inlineStr">
        <is>
          <t>Доходность банка на остатках</t>
        </is>
      </c>
      <c r="B8" s="3" t="n">
        <v>0.03</v>
      </c>
      <c r="C8" s="3" t="n">
        <v>0.04</v>
      </c>
      <c r="D8" s="3" t="n">
        <v>0.05</v>
      </c>
      <c r="E8" t="inlineStr">
        <is>
          <t>годовых</t>
        </is>
      </c>
      <c r="F8" t="inlineStr">
        <is>
          <t>гипотеза: трансфертная маржа</t>
        </is>
      </c>
    </row>
    <row r="9">
      <c r="A9" t="inlineStr">
        <is>
          <t>Конверсия активных клиентов в факторинг</t>
        </is>
      </c>
      <c r="B9" s="3" t="n">
        <v>0.01</v>
      </c>
      <c r="C9" s="3" t="n">
        <v>0.03</v>
      </c>
      <c r="D9" s="3" t="n">
        <v>0.05</v>
      </c>
      <c r="E9" t="inlineStr">
        <is>
          <t>доля в год</t>
        </is>
      </c>
      <c r="F9" t="inlineStr">
        <is>
          <t>гипотеза; сейчас факторингом пользуется &lt;1% МСП (оценка)</t>
        </is>
      </c>
    </row>
    <row r="10">
      <c r="A10" t="inlineStr">
        <is>
          <t>Средний портфель факторинга на клиента</t>
        </is>
      </c>
      <c r="B10" s="3" t="n">
        <v>2000000</v>
      </c>
      <c r="C10" s="3" t="n">
        <v>3000000</v>
      </c>
      <c r="D10" s="3" t="n">
        <v>4000000</v>
      </c>
      <c r="E10" t="inlineStr">
        <is>
          <t>₽</t>
        </is>
      </c>
      <c r="F10" t="inlineStr">
        <is>
          <t>гипотеза</t>
        </is>
      </c>
    </row>
    <row r="11">
      <c r="A11" t="inlineStr">
        <is>
          <t>Чистая доходность факторинга для банка</t>
        </is>
      </c>
      <c r="B11" s="3" t="n">
        <v>0.03</v>
      </c>
      <c r="C11" s="3" t="n">
        <v>0.04</v>
      </c>
      <c r="D11" s="3" t="n">
        <v>0.05</v>
      </c>
      <c r="E11" t="inlineStr">
        <is>
          <t>годовых</t>
        </is>
      </c>
      <c r="F11" t="inlineStr">
        <is>
          <t>гипотеза</t>
        </is>
      </c>
    </row>
    <row r="12">
      <c r="A12" t="inlineStr">
        <is>
          <t>Писем GigaChat на клиента в месяц</t>
        </is>
      </c>
      <c r="B12" s="3" t="n">
        <v>20</v>
      </c>
      <c r="C12" s="3" t="n">
        <v>30</v>
      </c>
      <c r="D12" s="3" t="n">
        <v>40</v>
      </c>
      <c r="E12" t="inlineStr">
        <is>
          <t>шт</t>
        </is>
      </c>
      <c r="F12" t="inlineStr">
        <is>
          <t>гипотеза</t>
        </is>
      </c>
    </row>
    <row r="13">
      <c r="A13" t="inlineStr">
        <is>
          <t>Стоимость письма (токены)</t>
        </is>
      </c>
      <c r="B13" s="3" t="n">
        <v>1.5</v>
      </c>
      <c r="C13" s="3" t="n">
        <v>1</v>
      </c>
      <c r="D13" s="3" t="n">
        <v>0.75</v>
      </c>
      <c r="E13" t="inlineStr">
        <is>
          <t>₽</t>
        </is>
      </c>
      <c r="F13" t="inlineStr">
        <is>
          <t>GigaChat Pro 0,5 ₽/1K токенов, ~1,5–3K токенов на письмо</t>
        </is>
      </c>
    </row>
    <row r="14">
      <c r="A14" t="inlineStr">
        <is>
          <t>Вызовов Jev на клиента в месяц</t>
        </is>
      </c>
      <c r="B14" s="3" t="n">
        <v>60</v>
      </c>
      <c r="C14" s="3" t="n">
        <v>90</v>
      </c>
      <c r="D14" s="3" t="n">
        <v>120</v>
      </c>
      <c r="E14" t="inlineStr">
        <is>
          <t>шт</t>
        </is>
      </c>
      <c r="F14" t="inlineStr">
        <is>
          <t>гипотеза: причина + сообщения</t>
        </is>
      </c>
    </row>
    <row r="15">
      <c r="A15" t="inlineStr">
        <is>
          <t>Стоимость вызова Jev</t>
        </is>
      </c>
      <c r="B15" s="3" t="n">
        <v>0.5</v>
      </c>
      <c r="C15" s="3" t="n">
        <v>0.3</v>
      </c>
      <c r="D15" s="3" t="n">
        <v>0.2</v>
      </c>
      <c r="E15" t="inlineStr">
        <is>
          <t>₽</t>
        </is>
      </c>
      <c r="F15" t="inlineStr">
        <is>
          <t>гипотеза: договор с TypeSafe не заключён</t>
        </is>
      </c>
    </row>
    <row r="16">
      <c r="A16" t="inlineStr">
        <is>
          <t>Разработка и запуск (год 1)</t>
        </is>
      </c>
      <c r="B16" s="3" t="n">
        <v>30000000</v>
      </c>
      <c r="C16" s="3" t="n">
        <v>24000000</v>
      </c>
      <c r="D16" s="3" t="n">
        <v>20000000</v>
      </c>
      <c r="E16" t="inlineStr">
        <is>
          <t>₽</t>
        </is>
      </c>
      <c r="F16" t="inlineStr">
        <is>
          <t>команда 5–6 чел. × 12 мес.</t>
        </is>
      </c>
    </row>
    <row r="17">
      <c r="A17" t="inlineStr">
        <is>
          <t>Инфраструктура on-prem (CAPEX, год 1)</t>
        </is>
      </c>
      <c r="B17" s="3" t="n">
        <v>18000000</v>
      </c>
      <c r="C17" s="3" t="n">
        <v>12000000</v>
      </c>
      <c r="D17" s="3" t="n">
        <v>9000000</v>
      </c>
      <c r="E17" t="inlineStr">
        <is>
          <t>₽</t>
        </is>
      </c>
      <c r="F17" t="inlineStr">
        <is>
          <t>серверы под LLM в контуре банка; оценка</t>
        </is>
      </c>
    </row>
    <row r="18">
      <c r="A18" t="inlineStr">
        <is>
          <t>Поддержка и развитие (с года 2)</t>
        </is>
      </c>
      <c r="B18" s="3" t="n">
        <v>20000000</v>
      </c>
      <c r="C18" s="3" t="n">
        <v>16000000</v>
      </c>
      <c r="D18" s="3" t="n">
        <v>14000000</v>
      </c>
      <c r="E18" t="inlineStr">
        <is>
          <t>₽/год</t>
        </is>
      </c>
      <c r="F18" t="inlineStr">
        <is>
          <t>оценка</t>
        </is>
      </c>
    </row>
    <row r="19">
      <c r="A19" t="inlineStr">
        <is>
          <t>Доля активных клиентов в год 1 от целевой</t>
        </is>
      </c>
      <c r="B19" s="3" t="n">
        <v>0.3</v>
      </c>
      <c r="C19" s="3" t="n">
        <v>0.4</v>
      </c>
      <c r="D19" s="3" t="n">
        <v>0.5</v>
      </c>
      <c r="E19" t="inlineStr">
        <is>
          <t>доля</t>
        </is>
      </c>
      <c r="F19" t="inlineStr">
        <is>
          <t>плавный запуск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60" customWidth="1" min="5" max="5"/>
    <col width="70" customWidth="1" min="6" max="6"/>
  </cols>
  <sheetData>
    <row r="1">
      <c r="A1" s="2" t="inlineStr">
        <is>
          <t>Показатель</t>
        </is>
      </c>
      <c r="B1" s="2" t="inlineStr">
        <is>
          <t>Пессимистичный</t>
        </is>
      </c>
      <c r="C1" s="2" t="inlineStr">
        <is>
          <t>Базовый</t>
        </is>
      </c>
      <c r="D1" s="2" t="inlineStr">
        <is>
          <t>Оптимистичный</t>
        </is>
      </c>
      <c r="E1" s="2" t="inlineStr">
        <is>
          <t>Комментарий</t>
        </is>
      </c>
    </row>
    <row r="2">
      <c r="A2" t="inlineStr">
        <is>
          <t>Активные клиенты, год 2</t>
        </is>
      </c>
      <c r="B2" s="4">
        <f>Допущения!B2*Допущения!B3*Допущения!B4</f>
        <v/>
      </c>
      <c r="C2" s="4">
        <f>Допущения!C2*Допущения!C3*Допущения!C4</f>
        <v/>
      </c>
      <c r="D2" s="4">
        <f>Допущения!D2*Допущения!D3*Допущения!D4</f>
        <v/>
      </c>
      <c r="E2" t="inlineStr">
        <is>
          <t>клиенты × доля B2B × доля активных</t>
        </is>
      </c>
    </row>
    <row r="3">
      <c r="A3" t="inlineStr">
        <is>
          <t>Активные клиенты, год 1</t>
        </is>
      </c>
      <c r="B3" s="4">
        <f>B2*Допущения!B19</f>
        <v/>
      </c>
      <c r="C3" s="4">
        <f>C2*Допущения!C19</f>
        <v/>
      </c>
      <c r="D3" s="4">
        <f>D2*Допущения!D19</f>
        <v/>
      </c>
      <c r="E3" t="inlineStr"/>
    </row>
    <row r="4">
      <c r="A4" t="inlineStr">
        <is>
          <t>Высвобождено денег у клиентов, год 2</t>
        </is>
      </c>
      <c r="B4" s="4">
        <f>B2*Допущения!B5/30*Допущения!B6</f>
        <v/>
      </c>
      <c r="C4" s="4">
        <f>C2*Допущения!C5/30*Допущения!C6</f>
        <v/>
      </c>
      <c r="D4" s="4">
        <f>D2*Допущения!D5/30*Допущения!D6</f>
        <v/>
      </c>
      <c r="E4" t="inlineStr">
        <is>
          <t>выручка/30 × дни DSO — разово, оборотный капитал</t>
        </is>
      </c>
    </row>
    <row r="5">
      <c r="A5" t="inlineStr">
        <is>
          <t>Доход банка на остатках, год 2</t>
        </is>
      </c>
      <c r="B5" s="4">
        <f>B4*Допущения!B7*Допущения!B8</f>
        <v/>
      </c>
      <c r="C5" s="4">
        <f>C4*Допущения!C7*Допущения!C8</f>
        <v/>
      </c>
      <c r="D5" s="4">
        <f>D4*Допущения!D7*Допущения!D8</f>
        <v/>
      </c>
      <c r="E5" t="inlineStr">
        <is>
          <t>₽ в год</t>
        </is>
      </c>
    </row>
    <row r="6">
      <c r="A6" t="inlineStr">
        <is>
          <t>Клиентов в факторинге, год 2</t>
        </is>
      </c>
      <c r="B6" s="4">
        <f>B2*Допущения!B9*2</f>
        <v/>
      </c>
      <c r="C6" s="4">
        <f>C2*Допущения!C9*2</f>
        <v/>
      </c>
      <c r="D6" s="4">
        <f>D2*Допущения!D9*2</f>
        <v/>
      </c>
      <c r="E6" t="inlineStr">
        <is>
          <t>накопленно за 2 года</t>
        </is>
      </c>
    </row>
    <row r="7">
      <c r="A7" t="inlineStr">
        <is>
          <t>Доход банка от факторинга, год 2</t>
        </is>
      </c>
      <c r="B7" s="4">
        <f>B6*Допущения!B10*Допущения!B11</f>
        <v/>
      </c>
      <c r="C7" s="4">
        <f>C6*Допущения!C10*Допущения!C11</f>
        <v/>
      </c>
      <c r="D7" s="4">
        <f>D6*Допущения!D10*Допущения!D11</f>
        <v/>
      </c>
      <c r="E7" t="inlineStr">
        <is>
          <t>₽ в год</t>
        </is>
      </c>
    </row>
    <row r="8">
      <c r="A8" t="inlineStr">
        <is>
          <t>Выручка банка, год 2</t>
        </is>
      </c>
      <c r="B8" s="4">
        <f>B5+B7</f>
        <v/>
      </c>
      <c r="C8" s="4">
        <f>C5+C7</f>
        <v/>
      </c>
      <c r="D8" s="4">
        <f>D5+D7</f>
        <v/>
      </c>
      <c r="E8" t="inlineStr"/>
    </row>
    <row r="9">
      <c r="A9" t="inlineStr">
        <is>
          <t>Переменные затраты (LLM + Jev), год 2</t>
        </is>
      </c>
      <c r="B9" s="4">
        <f>B2*12*(Допущения!B12*Допущения!B13+Допущения!B14*Допущения!B15)</f>
        <v/>
      </c>
      <c r="C9" s="4">
        <f>C2*12*(Допущения!C12*Допущения!C13+Допущения!C14*Допущения!C15)</f>
        <v/>
      </c>
      <c r="D9" s="4">
        <f>D2*12*(Допущения!D12*Допущения!D13+Допущения!D14*Допущения!D15)</f>
        <v/>
      </c>
      <c r="E9" t="inlineStr"/>
    </row>
    <row r="10">
      <c r="A10" t="inlineStr">
        <is>
          <t>Постоянные затраты, год 2</t>
        </is>
      </c>
      <c r="B10" s="4">
        <f>Допущения!B18</f>
        <v/>
      </c>
      <c r="C10" s="4">
        <f>Допущения!C18</f>
        <v/>
      </c>
      <c r="D10" s="4">
        <f>Допущения!D18</f>
        <v/>
      </c>
      <c r="E10" t="inlineStr"/>
    </row>
    <row r="11">
      <c r="A11" t="inlineStr">
        <is>
          <t>Операционная прибыль, год 2</t>
        </is>
      </c>
      <c r="B11" s="4">
        <f>B8-B9-B10</f>
        <v/>
      </c>
      <c r="C11" s="4">
        <f>C8-C9-C10</f>
        <v/>
      </c>
      <c r="D11" s="4">
        <f>D8-D9-D10</f>
        <v/>
      </c>
      <c r="E11" t="inlineStr"/>
    </row>
    <row r="12">
      <c r="A12" t="inlineStr">
        <is>
          <t>Выручка банка, год 1</t>
        </is>
      </c>
      <c r="B12" s="4">
        <f>B8*Допущения!B19/2</f>
        <v/>
      </c>
      <c r="C12" s="4">
        <f>C8*Допущения!C19/2</f>
        <v/>
      </c>
      <c r="D12" s="4">
        <f>D8*Допущения!D19/2</f>
        <v/>
      </c>
      <c r="E12" t="inlineStr">
        <is>
          <t>год 1 — половина эффекта от доли активных</t>
        </is>
      </c>
    </row>
    <row r="13">
      <c r="A13" t="inlineStr">
        <is>
          <t>Затраты, год 1</t>
        </is>
      </c>
      <c r="B13" s="4">
        <f>Допущения!B16+Допущения!B17+B3*12*(Допущения!B12*Допущения!B13+Допущения!B14*Допущения!B15)</f>
        <v/>
      </c>
      <c r="C13" s="4">
        <f>Допущения!C16+Допущения!C17+C3*12*(Допущения!C12*Допущения!C13+Допущения!C14*Допущения!C15)</f>
        <v/>
      </c>
      <c r="D13" s="4">
        <f>Допущения!D16+Допущения!D17+D3*12*(Допущения!D12*Допущения!D13+Допущения!D14*Допущения!D15)</f>
        <v/>
      </c>
      <c r="E13" t="inlineStr"/>
    </row>
    <row r="14">
      <c r="A14" t="inlineStr">
        <is>
          <t>Денежный поток, год 1</t>
        </is>
      </c>
      <c r="B14" s="4">
        <f>B12-B13</f>
        <v/>
      </c>
      <c r="C14" s="4">
        <f>C12-C13</f>
        <v/>
      </c>
      <c r="D14" s="4">
        <f>D12-D13</f>
        <v/>
      </c>
      <c r="E14" t="inlineStr"/>
    </row>
    <row r="15">
      <c r="A15" t="inlineStr">
        <is>
          <t>Накопленный поток к концу года 2</t>
        </is>
      </c>
      <c r="B15" s="4">
        <f>B14+B11</f>
        <v/>
      </c>
      <c r="C15" s="4">
        <f>C14+C11</f>
        <v/>
      </c>
      <c r="D15" s="4">
        <f>D14+D11</f>
        <v/>
      </c>
      <c r="E15" t="inlineStr"/>
    </row>
    <row r="16">
      <c r="A16" t="inlineStr">
        <is>
          <t>Срок окупаемости, мес.</t>
        </is>
      </c>
      <c r="B16" s="5">
        <f>IF(B11&lt;=0,"не окупается",IF(B14&gt;=0,12*B13/MAX(B12,1),12+(-B14)/(B11/12)))</f>
        <v/>
      </c>
      <c r="C16" s="5">
        <f>IF(C11&lt;=0,"не окупается",IF(C14&gt;=0,12*C13/MAX(C12,1),12+(-C14)/(C11/12)))</f>
        <v/>
      </c>
      <c r="D16" s="5">
        <f>IF(D11&lt;=0,"не окупается",IF(D14&gt;=0,12*D13/MAX(D12,1),12+(-D14)/(D11/12)))</f>
        <v/>
      </c>
      <c r="E16" t="inlineStr">
        <is>
          <t>от старта разработки</t>
        </is>
      </c>
    </row>
    <row r="17">
      <c r="A17" t="inlineStr">
        <is>
          <t>Переменные затраты на клиента в месяц</t>
        </is>
      </c>
      <c r="B17" s="4">
        <f>Допущения!B12*Допущения!B13+Допущения!B14*Допущения!B15</f>
        <v/>
      </c>
      <c r="C17" s="4">
        <f>Допущения!C12*Допущения!C13+Допущения!C14*Допущения!C15</f>
        <v/>
      </c>
      <c r="D17" s="4">
        <f>Допущения!D12*Допущения!D13+Допущения!D14*Допущения!D15</f>
        <v/>
      </c>
      <c r="E17" t="inlineStr">
        <is>
          <t>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60" customWidth="1" min="5" max="5"/>
    <col width="70" customWidth="1" min="6" max="6"/>
  </cols>
  <sheetData>
    <row r="1">
      <c r="A1" s="2" t="inlineStr">
        <is>
          <t>Параметр</t>
        </is>
      </c>
      <c r="B1" s="2" t="inlineStr">
        <is>
          <t>Значение</t>
        </is>
      </c>
      <c r="C1" s="2" t="inlineStr">
        <is>
          <t>Комментарий</t>
        </is>
      </c>
    </row>
    <row r="2">
      <c r="A2" t="inlineStr">
        <is>
          <t>Выручка компании в год, ₽</t>
        </is>
      </c>
      <c r="B2" s="6" t="n">
        <v>120000000</v>
      </c>
      <c r="C2" t="inlineStr">
        <is>
          <t>пример: проектное бюро / подрядчик</t>
        </is>
      </c>
    </row>
    <row r="3">
      <c r="A3" t="inlineStr">
        <is>
          <t>Сокращение DSO, дней</t>
        </is>
      </c>
      <c r="B3" s="6" t="n">
        <v>4</v>
      </c>
      <c r="C3" t="inlineStr">
        <is>
          <t>гипотеза пилота (базовый сценарий)</t>
        </is>
      </c>
    </row>
    <row r="4">
      <c r="A4" t="inlineStr">
        <is>
          <t>Ставка кредита для МСБ, годовых</t>
        </is>
      </c>
      <c r="B4" s="7" t="n">
        <v>0.2</v>
      </c>
      <c r="C4" t="inlineStr">
        <is>
          <t>ключевая 14% + маржа банка, оценка</t>
        </is>
      </c>
    </row>
    <row r="5">
      <c r="A5" t="inlineStr">
        <is>
          <t>Время сотрудника на разбор одного просроченного счёта сейчас, мин</t>
        </is>
      </c>
      <c r="B5" s="6" t="n">
        <v>40</v>
      </c>
      <c r="C5" t="inlineStr">
        <is>
          <t>гипотеза — проверить в интервью</t>
        </is>
      </c>
    </row>
    <row r="6">
      <c r="A6" t="inlineStr">
        <is>
          <t>Время с сервисом, мин</t>
        </is>
      </c>
      <c r="B6" s="6" t="n">
        <v>10</v>
      </c>
      <c r="C6" t="inlineStr">
        <is>
          <t>гипотеза</t>
        </is>
      </c>
    </row>
    <row r="7">
      <c r="A7" t="inlineStr">
        <is>
          <t>Просроченных счетов в месяц</t>
        </is>
      </c>
      <c r="B7" s="6" t="n">
        <v>30</v>
      </c>
      <c r="C7" t="inlineStr">
        <is>
          <t>гипотеза</t>
        </is>
      </c>
    </row>
    <row r="8">
      <c r="A8" t="inlineStr">
        <is>
          <t>Стоимость часа бухгалтера / финменеджера, ₽</t>
        </is>
      </c>
      <c r="B8" s="6" t="n">
        <v>900</v>
      </c>
      <c r="C8" t="inlineStr">
        <is>
          <t>оценка с учётом взносов</t>
        </is>
      </c>
    </row>
    <row r="9">
      <c r="A9" t="inlineStr">
        <is>
          <t>Высвобождено оборотных средств, ₽</t>
        </is>
      </c>
      <c r="B9" s="4">
        <f>B2/365*B3</f>
        <v/>
      </c>
      <c r="C9" t="inlineStr">
        <is>
          <t>разово</t>
        </is>
      </c>
    </row>
    <row r="10">
      <c r="A10" t="inlineStr">
        <is>
          <t>Экономия на процентах, ₽ в год</t>
        </is>
      </c>
      <c r="B10" s="4">
        <f>B9*B4</f>
        <v/>
      </c>
      <c r="C10" t="inlineStr">
        <is>
          <t>если вместо кредита — свои деньги</t>
        </is>
      </c>
    </row>
    <row r="11">
      <c r="A11" t="inlineStr">
        <is>
          <t>Экономия времени, часов в год</t>
        </is>
      </c>
      <c r="B11" s="4">
        <f>(B5-B6)/60*B7*12</f>
        <v/>
      </c>
      <c r="C11" t="inlineStr"/>
    </row>
    <row r="12">
      <c r="A12" t="inlineStr">
        <is>
          <t>Экономия времени, ₽ в год</t>
        </is>
      </c>
      <c r="B12" s="4">
        <f>B11*B8</f>
        <v/>
      </c>
      <c r="C12" t="inlineStr">
        <is>
          <t>высвобождение ≠ сокращение расходов</t>
        </is>
      </c>
    </row>
    <row r="13">
      <c r="A13" t="inlineStr">
        <is>
          <t>Итого выгода в год, ₽</t>
        </is>
      </c>
      <c r="B13" s="4">
        <f>B10+B12</f>
        <v/>
      </c>
      <c r="C13" t="inlineStr"/>
    </row>
    <row r="14">
      <c r="A14" t="inlineStr">
        <is>
          <t>Цена для клиента внутри банка, ₽ в год</t>
        </is>
      </c>
      <c r="B14" s="6" t="n">
        <v>0</v>
      </c>
      <c r="C14" t="inlineStr">
        <is>
          <t>бесплатно в интернет-банке (модель для ВТБ)</t>
        </is>
      </c>
    </row>
    <row r="15">
      <c r="A15" t="inlineStr">
        <is>
          <t>Цена standalone SaaS, ₽ в год</t>
        </is>
      </c>
      <c r="B15" s="6" t="n">
        <v>18000</v>
      </c>
      <c r="C15" t="inlineStr">
        <is>
          <t>ориентир 1 500 ₽/мес; ПланФакт от 4 484 ₽/мес</t>
        </is>
      </c>
    </row>
    <row r="16">
      <c r="A16" t="inlineStr">
        <is>
          <t>Окупаемость подписки SaaS, мес.</t>
        </is>
      </c>
      <c r="B16" s="8">
        <f>B15/(B13/12)</f>
        <v/>
      </c>
      <c r="C1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60" customWidth="1" min="5" max="5"/>
    <col width="70" customWidth="1" min="6" max="6"/>
  </cols>
  <sheetData>
    <row r="1">
      <c r="A1" s="2" t="inlineStr">
        <is>
          <t>Уровень</t>
        </is>
      </c>
      <c r="B1" s="2" t="inlineStr">
        <is>
          <t>Расчёт</t>
        </is>
      </c>
      <c r="C1" s="2" t="inlineStr">
        <is>
          <t>Значение, ₽ в год</t>
        </is>
      </c>
      <c r="D1" s="2" t="inlineStr">
        <is>
          <t>Комментарий</t>
        </is>
      </c>
    </row>
    <row r="2">
      <c r="A2" t="inlineStr">
        <is>
          <t>Юрлица МСП</t>
        </is>
      </c>
      <c r="B2" t="inlineStr"/>
      <c r="C2" t="n">
        <v>2020000</v>
      </c>
      <c r="D2" t="inlineStr">
        <is>
          <t>Реестр МСП 10.07.2026 (ОПОРА)</t>
        </is>
      </c>
    </row>
    <row r="3">
      <c r="A3" t="inlineStr">
        <is>
          <t>ИП</t>
        </is>
      </c>
      <c r="B3" t="inlineStr"/>
      <c r="C3" t="n">
        <v>4590000</v>
      </c>
      <c r="D3" t="inlineStr">
        <is>
          <t>там же</t>
        </is>
      </c>
    </row>
    <row r="4">
      <c r="A4" t="inlineStr">
        <is>
          <t>Доля с B2B-выручкой: юрлица / ИП</t>
        </is>
      </c>
      <c r="B4" t="inlineStr"/>
      <c r="C4" t="inlineStr">
        <is>
          <t>50% / 20%</t>
        </is>
      </c>
      <c r="D4" t="inlineStr">
        <is>
          <t>гипотеза</t>
        </is>
      </c>
    </row>
    <row r="5">
      <c r="A5" t="inlineStr">
        <is>
          <t>Компаний в TAM</t>
        </is>
      </c>
      <c r="B5">
        <f>C2*0.5+C3*0.2</f>
        <v/>
      </c>
      <c r="C5" s="4">
        <f>C2*0.5+C3*0.2</f>
        <v/>
      </c>
      <c r="D5" t="inlineStr"/>
    </row>
    <row r="6">
      <c r="A6" t="inlineStr">
        <is>
          <t>ARPU, ₽ в месяц</t>
        </is>
      </c>
      <c r="B6" t="inlineStr"/>
      <c r="C6" s="3" t="n">
        <v>1500</v>
      </c>
      <c r="D6" t="inlineStr">
        <is>
          <t>гипотеза; ориентир рынка учётного ПО</t>
        </is>
      </c>
    </row>
    <row r="7">
      <c r="A7" t="inlineStr">
        <is>
          <t>TAM</t>
        </is>
      </c>
      <c r="B7" t="inlineStr">
        <is>
          <t>компании × ARPU × 12</t>
        </is>
      </c>
      <c r="C7" s="4">
        <f>C5*C6*12</f>
        <v/>
      </c>
      <c r="D7" t="inlineStr">
        <is>
          <t>весь российский B2B-МСБ</t>
        </is>
      </c>
    </row>
    <row r="8">
      <c r="A8" t="inlineStr">
        <is>
          <t>SAM (клиенты ВТБ с B2B)</t>
        </is>
      </c>
      <c r="B8" t="inlineStr">
        <is>
          <t>1,3 млн × 0,4 × ARPU × 12</t>
        </is>
      </c>
      <c r="C8" s="4">
        <f>1300000*0.4*C6*12</f>
        <v/>
      </c>
      <c r="D8" t="inlineStr">
        <is>
          <t>устаревшее число клиентов ВТБ</t>
        </is>
      </c>
    </row>
    <row r="9">
      <c r="A9" t="inlineStr">
        <is>
          <t>SOM (3 года, 3% SAM)</t>
        </is>
      </c>
      <c r="B9" t="inlineStr">
        <is>
          <t>SAM × 3%</t>
        </is>
      </c>
      <c r="C9" s="4">
        <f>C8*0.03</f>
        <v/>
      </c>
      <c r="D9" t="inlineStr">
        <is>
          <t>базовый сценарий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2026-10-28T14:33:56Z</dcterms:created>
  <dcterms:modified xmlns:dcterms="http://purl.org/dc/terms/" xmlns:xsi="http://www.w3.org/2001/XMLSchema-instance" xsi:type="dcterms:W3CDTF">2026-10-28T14:33:56Z</dcterms:modified>
</cp:coreProperties>
</file>